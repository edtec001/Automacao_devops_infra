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 e Visão Geral" sheetId="1" state="visible" r:id="rId1"/>
    <sheet xmlns:r="http://schemas.openxmlformats.org/officeDocument/2006/relationships" name="Matriz_Sede" sheetId="2" state="visible" r:id="rId2"/>
    <sheet xmlns:r="http://schemas.openxmlformats.org/officeDocument/2006/relationships" name="Filial_A" sheetId="3" state="visible" r:id="rId3"/>
    <sheet xmlns:r="http://schemas.openxmlformats.org/officeDocument/2006/relationships" name="Filial_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563C1"/>
      <sz val="11"/>
      <u val="single"/>
    </font>
    <font>
      <name val="Calibri"/>
      <i val="1"/>
      <sz val="10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8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0" fillId="0" borderId="2" pivotButton="0" quotePrefix="0" xfId="0"/>
    <xf numFmtId="0" fontId="6" fillId="4" borderId="2" applyAlignment="1" pivotButton="0" quotePrefix="0" xfId="0">
      <alignment horizontal="center" vertical="center"/>
    </xf>
    <xf numFmtId="0" fontId="8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96" customWidth="1" min="1" max="1"/>
    <col width="90" customWidth="1" min="2" max="2"/>
    <col width="67" customWidth="1" min="3" max="3"/>
  </cols>
  <sheetData>
    <row r="1" ht="25" customHeight="1">
      <c r="A1" s="1" t="inlineStr">
        <is>
          <t>PLANILHA DE CONFIGURAÇÕES DE REDE MULTI-SITE</t>
        </is>
      </c>
    </row>
    <row r="2" ht="18" customHeight="1">
      <c r="A2" s="2" t="inlineStr">
        <is>
          <t>Gerado em 2026-08-21 | v1.0 | Foco em Segurança, Resiliência e Automação (SD-WAN &amp; VPN IPsec)</t>
        </is>
      </c>
    </row>
    <row r="3"/>
    <row r="4">
      <c r="A4" s="3" t="inlineStr">
        <is>
          <t>1. LEGENDA DE FORMATAÇÃO</t>
        </is>
      </c>
    </row>
    <row r="5">
      <c r="A5" s="4" t="inlineStr">
        <is>
          <t>Tipo de Célula</t>
        </is>
      </c>
      <c r="B5" s="4" t="inlineStr">
        <is>
          <t>Descrição Visual</t>
        </is>
      </c>
      <c r="C5" s="4" t="inlineStr">
        <is>
          <t>Significado / Uso</t>
        </is>
      </c>
    </row>
    <row r="6">
      <c r="A6" s="5" t="inlineStr">
        <is>
          <t>Input / Configurável</t>
        </is>
      </c>
      <c r="B6" s="5" t="inlineStr">
        <is>
          <t>Preenchimento Azul Claro</t>
        </is>
      </c>
      <c r="C6" s="6" t="inlineStr">
        <is>
          <t>Parâmetro manual que pode ser editado pelo administrador</t>
        </is>
      </c>
    </row>
    <row r="7">
      <c r="A7" s="7" t="inlineStr">
        <is>
          <t>Calculado / Fórmula</t>
        </is>
      </c>
      <c r="B7" s="7" t="inlineStr">
        <is>
          <t>Preenchimento Verde Claro</t>
        </is>
      </c>
      <c r="C7" s="6" t="inlineStr">
        <is>
          <t>Campo preenchido automaticamente por fórmulas do Excel</t>
        </is>
      </c>
    </row>
    <row r="8">
      <c r="A8" s="6" t="inlineStr">
        <is>
          <t>Informativo / Fixo</t>
        </is>
      </c>
      <c r="B8" s="6" t="inlineStr">
        <is>
          <t>Sem Preenchimento</t>
        </is>
      </c>
      <c r="C8" s="6" t="inlineStr">
        <is>
          <t>Dados informativos, referências ou rótulos de texto estáticos</t>
        </is>
      </c>
    </row>
    <row r="9"/>
    <row r="10">
      <c r="A10" s="3" t="inlineStr">
        <is>
          <t>2. ÍNDICE DAS PLANILHAS (TOC)</t>
        </is>
      </c>
    </row>
    <row r="11">
      <c r="A11" s="4" t="inlineStr">
        <is>
          <t>Nome da Planilha</t>
        </is>
      </c>
      <c r="B11" s="4" t="inlineStr">
        <is>
          <t>Descrição do Conteúdo</t>
        </is>
      </c>
      <c r="C11" s="4" t="inlineStr">
        <is>
          <t>Link de Acesso Rápido</t>
        </is>
      </c>
    </row>
    <row r="12">
      <c r="A12" s="8" t="inlineStr">
        <is>
          <t>TOC e Visão Geral</t>
        </is>
      </c>
      <c r="B12" s="6" t="inlineStr">
        <is>
          <t>Esta tela inicial com legenda, índice e parâmetros globais da WAN.</t>
        </is>
      </c>
      <c r="C12" s="9">
        <f>HYPERLINK("#'TOC e Visão Geral'!A1", "Ir para Visão Geral →")</f>
        <v/>
      </c>
    </row>
    <row r="13">
      <c r="A13" s="8" t="inlineStr">
        <is>
          <t>Matriz_Sede</t>
        </is>
      </c>
      <c r="B13" s="6" t="inlineStr">
        <is>
          <t>Subnets, VLANs, Inventário de Hardware e Dimensionamento de VMs da Sede (100 usuários).</t>
        </is>
      </c>
      <c r="C13" s="9">
        <f>HYPERLINK("#'Matriz_Sede'!A1", "Ir para Matriz (Sede) →")</f>
        <v/>
      </c>
    </row>
    <row r="14">
      <c r="A14" s="8" t="inlineStr">
        <is>
          <t>Filial_A</t>
        </is>
      </c>
      <c r="B14" s="6" t="inlineStr">
        <is>
          <t>Subnets, VLANs e Inventário de Hardware da Filial A (50 usuários).</t>
        </is>
      </c>
      <c r="C14" s="9">
        <f>HYPERLINK("#'Filial_A'!A1", "Ir para Filial A →")</f>
        <v/>
      </c>
    </row>
    <row r="15">
      <c r="A15" s="8" t="inlineStr">
        <is>
          <t>Filial_B</t>
        </is>
      </c>
      <c r="B15" s="6" t="inlineStr">
        <is>
          <t>Subnets, VLANs e Inventário de Hardware da Filial B (50 usuários).</t>
        </is>
      </c>
      <c r="C15" s="9">
        <f>HYPERLINK("#'Filial_B'!A1", "Ir para Filial B →")</f>
        <v/>
      </c>
    </row>
    <row r="16"/>
    <row r="17"/>
    <row r="18">
      <c r="A18" s="3" t="inlineStr">
        <is>
          <t>3. PARÂMETROS GLOBAIS DA REDE WAN</t>
        </is>
      </c>
    </row>
    <row r="19">
      <c r="A19" s="4" t="inlineStr">
        <is>
          <t>Parâmetro Global</t>
        </is>
      </c>
      <c r="B19" s="4" t="inlineStr">
        <is>
          <t>Valor de Configuração</t>
        </is>
      </c>
      <c r="C19" s="4" t="inlineStr">
        <is>
          <t>Observações / Detalhes Técnicos</t>
        </is>
      </c>
    </row>
    <row r="20">
      <c r="A20" s="8" t="inlineStr">
        <is>
          <t>Sufixo de Domínio Interno</t>
        </is>
      </c>
      <c r="B20" s="5" t="inlineStr">
        <is>
          <t>empresa.corp</t>
        </is>
      </c>
      <c r="C20" s="6" t="inlineStr">
        <is>
          <t>Domínio de busca local para Active Directory e DNS</t>
        </is>
      </c>
    </row>
    <row r="21">
      <c r="A21" s="8" t="inlineStr">
        <is>
          <t>DNS Primário (Externo)</t>
        </is>
      </c>
      <c r="B21" s="5" t="inlineStr">
        <is>
          <t>8.8.8.8</t>
        </is>
      </c>
      <c r="C21" s="6" t="inlineStr">
        <is>
          <t>Servidor DNS externo de trânsito (Google Public DNS)</t>
        </is>
      </c>
    </row>
    <row r="22">
      <c r="A22" s="8" t="inlineStr">
        <is>
          <t>DNS Secundário (Externo)</t>
        </is>
      </c>
      <c r="B22" s="5" t="inlineStr">
        <is>
          <t>1.1.1.1</t>
        </is>
      </c>
      <c r="C22" s="6" t="inlineStr">
        <is>
          <t>Servidor DNS externo secundário (Cloudflare DNS)</t>
        </is>
      </c>
    </row>
    <row r="23">
      <c r="A23" s="8" t="inlineStr">
        <is>
          <t>Topologia de VPN</t>
        </is>
      </c>
      <c r="B23" s="5" t="inlineStr">
        <is>
          <t>Hub-and-Spoke + Full-Mesh SD-WAN</t>
        </is>
      </c>
      <c r="C23" s="6" t="inlineStr">
        <is>
          <t>VPN IPsec criptografada Site-to-Site com redundância e SLA</t>
        </is>
      </c>
    </row>
    <row r="24">
      <c r="A24" s="8" t="inlineStr">
        <is>
          <t>VPN Overlay Network Subnet</t>
        </is>
      </c>
      <c r="B24" s="5" t="inlineStr">
        <is>
          <t>10.255.0.0/24</t>
        </is>
      </c>
      <c r="C24" s="6" t="inlineStr">
        <is>
          <t>Subnet lógica reservada para interligação dos túneis das filiais</t>
        </is>
      </c>
    </row>
    <row r="25">
      <c r="A25" s="8" t="inlineStr">
        <is>
          <t>IP de VPN - Matriz (Hub)</t>
        </is>
      </c>
      <c r="B25" s="5" t="inlineStr">
        <is>
          <t>10.255.0.1</t>
        </is>
      </c>
      <c r="C25" s="6" t="inlineStr">
        <is>
          <t>Interface de Túnel IPsec no FortiGate 80F</t>
        </is>
      </c>
    </row>
    <row r="26">
      <c r="A26" s="8" t="inlineStr">
        <is>
          <t>IP de VPN - Filial A (Spoke)</t>
        </is>
      </c>
      <c r="B26" s="5" t="inlineStr">
        <is>
          <t>10.255.0.2</t>
        </is>
      </c>
      <c r="C26" s="6" t="inlineStr">
        <is>
          <t>Interface de Túnel IPsec no FortiGate 60F</t>
        </is>
      </c>
    </row>
    <row r="27">
      <c r="A27" s="8" t="inlineStr">
        <is>
          <t>IP de VPN - Filial B (Spoke)</t>
        </is>
      </c>
      <c r="B27" s="5" t="inlineStr">
        <is>
          <t>10.255.0.3</t>
        </is>
      </c>
      <c r="C27" s="6" t="inlineStr">
        <is>
          <t>Interface de Túnel IPsec no FortiGate 60F</t>
        </is>
      </c>
    </row>
    <row r="28">
      <c r="A28" s="8" t="inlineStr">
        <is>
          <t>Tipo de Criptografia IPsec</t>
        </is>
      </c>
      <c r="B28" s="5" t="inlineStr">
        <is>
          <t>AES-256 / SHA-256 / DH Group 14</t>
        </is>
      </c>
      <c r="C28" s="6" t="inlineStr">
        <is>
          <t>Padrão de segurança corporativo homologado para VPN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7" customWidth="1" min="1" max="1"/>
    <col width="59" customWidth="1" min="2" max="2"/>
    <col width="22" customWidth="1" min="3" max="3"/>
    <col width="48" customWidth="1" min="4" max="4"/>
    <col width="32" customWidth="1" min="5" max="5"/>
    <col width="71" customWidth="1" min="6" max="6"/>
    <col width="26" customWidth="1" min="7" max="7"/>
    <col width="58" customWidth="1" min="8" max="8"/>
    <col width="18" customWidth="1" min="9" max="9"/>
  </cols>
  <sheetData>
    <row r="1" ht="25" customHeight="1">
      <c r="A1" s="1" t="inlineStr">
        <is>
          <t>CONFIGURAÇÕES DE REDE - MATRIZ (SEDE - 100 COLABORADORES)</t>
        </is>
      </c>
    </row>
    <row r="2" ht="18" customHeight="1">
      <c r="A2" s="2" t="inlineStr">
        <is>
          <t>Endereçamento Lógico, VLANs, Inventário de Hardware e Servidores</t>
        </is>
      </c>
    </row>
    <row r="3"/>
    <row r="4">
      <c r="A4" s="3" t="inlineStr">
        <is>
          <t>1. TABELA DE SUBNETS E CONFIGURAÇÃO DE VLANS</t>
        </is>
      </c>
    </row>
    <row r="5">
      <c r="A5" s="4" t="inlineStr">
        <is>
          <t>VLAN ID</t>
        </is>
      </c>
      <c r="B5" s="4" t="inlineStr">
        <is>
          <t>Nome da VLAN</t>
        </is>
      </c>
      <c r="C5" s="4" t="inlineStr">
        <is>
          <t>Subnet IP</t>
        </is>
      </c>
      <c r="D5" s="4" t="inlineStr">
        <is>
          <t>Máscara</t>
        </is>
      </c>
      <c r="E5" s="4" t="inlineStr">
        <is>
          <t>Gateway IP</t>
        </is>
      </c>
      <c r="F5" s="4" t="inlineStr">
        <is>
          <t>Range DHCP</t>
        </is>
      </c>
      <c r="G5" s="4" t="inlineStr">
        <is>
          <t>DNS Primário</t>
        </is>
      </c>
      <c r="H5" s="4" t="inlineStr">
        <is>
          <t>DNS Secundário</t>
        </is>
      </c>
      <c r="I5" s="4" t="inlineStr">
        <is>
          <t>Status</t>
        </is>
      </c>
    </row>
    <row r="6">
      <c r="A6" s="10" t="inlineStr">
        <is>
          <t>VLAN 10</t>
        </is>
      </c>
      <c r="B6" s="6" t="inlineStr">
        <is>
          <t>Gerenciamento &amp; Servidores</t>
        </is>
      </c>
      <c r="C6" s="5" t="inlineStr">
        <is>
          <t>10.100.10.0/24</t>
        </is>
      </c>
      <c r="D6" s="11" t="inlineStr">
        <is>
          <t>255.255.255.0</t>
        </is>
      </c>
      <c r="E6" s="5" t="inlineStr">
        <is>
          <t>10.100.10.1</t>
        </is>
      </c>
      <c r="F6" s="5" t="inlineStr">
        <is>
          <t>Estático (Sem DHCP)</t>
        </is>
      </c>
      <c r="G6" s="5" t="inlineStr">
        <is>
          <t>10.100.10.10 (AD Local)</t>
        </is>
      </c>
      <c r="H6" s="5" t="inlineStr">
        <is>
          <t>8.8.8.8</t>
        </is>
      </c>
      <c r="I6" s="10" t="inlineStr">
        <is>
          <t>Ativo</t>
        </is>
      </c>
    </row>
    <row r="7">
      <c r="A7" s="12" t="inlineStr">
        <is>
          <t>VLAN 20</t>
        </is>
      </c>
      <c r="B7" s="13" t="inlineStr">
        <is>
          <t>Colaboradores (Usuários)</t>
        </is>
      </c>
      <c r="C7" s="5" t="inlineStr">
        <is>
          <t>10.100.20.0/24</t>
        </is>
      </c>
      <c r="D7" s="11" t="inlineStr">
        <is>
          <t>255.255.255.0</t>
        </is>
      </c>
      <c r="E7" s="5" t="inlineStr">
        <is>
          <t>10.100.20.1</t>
        </is>
      </c>
      <c r="F7" s="5" t="inlineStr">
        <is>
          <t>10.100.20.100 - 10.100.20.250</t>
        </is>
      </c>
      <c r="G7" s="5" t="inlineStr">
        <is>
          <t>10.100.10.10 (AD Local)</t>
        </is>
      </c>
      <c r="H7" s="5" t="inlineStr">
        <is>
          <t>1.1.1.1</t>
        </is>
      </c>
      <c r="I7" s="12" t="inlineStr">
        <is>
          <t>Ativo</t>
        </is>
      </c>
    </row>
    <row r="8">
      <c r="A8" s="10" t="inlineStr">
        <is>
          <t>VLAN 30</t>
        </is>
      </c>
      <c r="B8" s="6" t="inlineStr">
        <is>
          <t>Telefonia VoIP (Voz)</t>
        </is>
      </c>
      <c r="C8" s="5" t="inlineStr">
        <is>
          <t>10.100.30.0/24</t>
        </is>
      </c>
      <c r="D8" s="11" t="inlineStr">
        <is>
          <t>255.255.255.0</t>
        </is>
      </c>
      <c r="E8" s="5" t="inlineStr">
        <is>
          <t>10.100.30.1</t>
        </is>
      </c>
      <c r="F8" s="5" t="inlineStr">
        <is>
          <t>10.100.30.50 - 10.100.30.200</t>
        </is>
      </c>
      <c r="G8" s="5" t="inlineStr">
        <is>
          <t>10.100.10.10 (AD Local)</t>
        </is>
      </c>
      <c r="H8" s="5" t="inlineStr">
        <is>
          <t>1.1.1.1</t>
        </is>
      </c>
      <c r="I8" s="10" t="inlineStr">
        <is>
          <t>Ativo</t>
        </is>
      </c>
    </row>
    <row r="9">
      <c r="A9" s="12" t="inlineStr">
        <is>
          <t>VLAN 40</t>
        </is>
      </c>
      <c r="B9" s="13" t="inlineStr">
        <is>
          <t>Visitantes (Wi-Fi)</t>
        </is>
      </c>
      <c r="C9" s="5" t="inlineStr">
        <is>
          <t>10.100.40.0/24</t>
        </is>
      </c>
      <c r="D9" s="11" t="inlineStr">
        <is>
          <t>255.255.255.0</t>
        </is>
      </c>
      <c r="E9" s="5" t="inlineStr">
        <is>
          <t>10.100.40.1</t>
        </is>
      </c>
      <c r="F9" s="5" t="inlineStr">
        <is>
          <t>10.100.40.20 - 10.100.40.250</t>
        </is>
      </c>
      <c r="G9" s="5" t="inlineStr">
        <is>
          <t>8.8.8.8</t>
        </is>
      </c>
      <c r="H9" s="5" t="inlineStr">
        <is>
          <t>1.1.1.1</t>
        </is>
      </c>
      <c r="I9" s="12" t="inlineStr">
        <is>
          <t>Ativo (Isolada)</t>
        </is>
      </c>
    </row>
    <row r="10"/>
    <row r="11">
      <c r="A11" s="3" t="inlineStr">
        <is>
          <t>2. INVENTÁRIO DE HARDWARE E PORTAS FÍSICAS</t>
        </is>
      </c>
    </row>
    <row r="12">
      <c r="A12" s="4" t="inlineStr">
        <is>
          <t>Tipo de Dispositivo</t>
        </is>
      </c>
      <c r="B12" s="4" t="inlineStr">
        <is>
          <t>Marca / Modelo</t>
        </is>
      </c>
      <c r="C12" s="4" t="inlineStr">
        <is>
          <t>IP de Gerenciamento</t>
        </is>
      </c>
      <c r="D12" s="4" t="inlineStr">
        <is>
          <t>Porta Uplink / Borda</t>
        </is>
      </c>
      <c r="E12" s="4" t="inlineStr">
        <is>
          <t>VLANs Atribuídas</t>
        </is>
      </c>
      <c r="F12" s="4" t="inlineStr">
        <is>
          <t>Função / Descrição</t>
        </is>
      </c>
    </row>
    <row r="13">
      <c r="A13" s="13" t="inlineStr">
        <is>
          <t>Firewall UTM</t>
        </is>
      </c>
      <c r="B13" s="5" t="inlineStr">
        <is>
          <t>FortiGate 80F</t>
        </is>
      </c>
      <c r="C13" s="11" t="inlineStr">
        <is>
          <t>10.100.10.254</t>
        </is>
      </c>
      <c r="D13" s="5" t="inlineStr">
        <is>
          <t>WAN1 (Link Dedicado 300M) / WAN2 (Fibra 500M)</t>
        </is>
      </c>
      <c r="E13" s="5" t="inlineStr">
        <is>
          <t>Todas (Trunk / 802.1q)</t>
        </is>
      </c>
      <c r="F13" s="13" t="inlineStr">
        <is>
          <t>Segurança de borda, VPN Concentrator das filiais e SD-WAN redundante</t>
        </is>
      </c>
    </row>
    <row r="14">
      <c r="A14" s="6" t="inlineStr">
        <is>
          <t>Switch Core PoE</t>
        </is>
      </c>
      <c r="B14" s="5" t="inlineStr">
        <is>
          <t>UniFi USW-48-PoE</t>
        </is>
      </c>
      <c r="C14" s="11" t="inlineStr">
        <is>
          <t>10.100.10.251</t>
        </is>
      </c>
      <c r="D14" s="5" t="inlineStr">
        <is>
          <t>Port 49 (SFP+ Uplink para Firewall)</t>
        </is>
      </c>
      <c r="E14" s="5" t="inlineStr">
        <is>
          <t>Todas (Trunk)</t>
        </is>
      </c>
      <c r="F14" s="6" t="inlineStr">
        <is>
          <t>Switch principal e distribuição PoE para APs e telefones VoIP</t>
        </is>
      </c>
    </row>
    <row r="15">
      <c r="A15" s="13" t="inlineStr">
        <is>
          <t>Switch Acesso 1</t>
        </is>
      </c>
      <c r="B15" s="5" t="inlineStr">
        <is>
          <t>UniFi USW-48-Pro</t>
        </is>
      </c>
      <c r="C15" s="11" t="inlineStr">
        <is>
          <t>10.100.10.252</t>
        </is>
      </c>
      <c r="D15" s="5" t="inlineStr">
        <is>
          <t>Port 49 (Uplink para Core)</t>
        </is>
      </c>
      <c r="E15" s="5" t="inlineStr">
        <is>
          <t>VLAN 20, 30</t>
        </is>
      </c>
      <c r="F15" s="13" t="inlineStr">
        <is>
          <t>Conectividade cabeada para computadores dos usuários</t>
        </is>
      </c>
    </row>
    <row r="16">
      <c r="A16" s="6" t="inlineStr">
        <is>
          <t>Switch Acesso 2</t>
        </is>
      </c>
      <c r="B16" s="5" t="inlineStr">
        <is>
          <t>UniFi USW-48-Pro</t>
        </is>
      </c>
      <c r="C16" s="11" t="inlineStr">
        <is>
          <t>10.100.10.253</t>
        </is>
      </c>
      <c r="D16" s="5" t="inlineStr">
        <is>
          <t>Port 49 (Uplink para Core)</t>
        </is>
      </c>
      <c r="E16" s="5" t="inlineStr">
        <is>
          <t>VLAN 20, 30</t>
        </is>
      </c>
      <c r="F16" s="6" t="inlineStr">
        <is>
          <t>Conectividade cabeada para computadores dos usuários</t>
        </is>
      </c>
    </row>
    <row r="17">
      <c r="A17" s="13" t="inlineStr">
        <is>
          <t>Access Point 1</t>
        </is>
      </c>
      <c r="B17" s="5" t="inlineStr">
        <is>
          <t>UniFi U6-Pro</t>
        </is>
      </c>
      <c r="C17" s="11" t="inlineStr">
        <is>
          <t>10.100.10.241</t>
        </is>
      </c>
      <c r="D17" s="5" t="inlineStr">
        <is>
          <t>Core - Port 10 (PoE)</t>
        </is>
      </c>
      <c r="E17" s="5" t="inlineStr">
        <is>
          <t>VLAN 20, 40 (SSID Corp/Visit)</t>
        </is>
      </c>
      <c r="F17" s="13" t="inlineStr">
        <is>
          <t>Wi-Fi Setor Comercial e Diretoria</t>
        </is>
      </c>
    </row>
    <row r="18">
      <c r="A18" s="6" t="inlineStr">
        <is>
          <t>Access Point 2</t>
        </is>
      </c>
      <c r="B18" s="5" t="inlineStr">
        <is>
          <t>UniFi U6-Pro</t>
        </is>
      </c>
      <c r="C18" s="11" t="inlineStr">
        <is>
          <t>10.100.10.242</t>
        </is>
      </c>
      <c r="D18" s="5" t="inlineStr">
        <is>
          <t>Core - Port 11 (PoE)</t>
        </is>
      </c>
      <c r="E18" s="5" t="inlineStr">
        <is>
          <t>VLAN 20, 40 (SSID Corp/Visit)</t>
        </is>
      </c>
      <c r="F18" s="6" t="inlineStr">
        <is>
          <t>Wi-Fi Setor Engenharia e Operações</t>
        </is>
      </c>
    </row>
    <row r="19">
      <c r="A19" s="13" t="inlineStr">
        <is>
          <t>Access Point 3</t>
        </is>
      </c>
      <c r="B19" s="5" t="inlineStr">
        <is>
          <t>UniFi U6-Pro</t>
        </is>
      </c>
      <c r="C19" s="11" t="inlineStr">
        <is>
          <t>10.100.10.243</t>
        </is>
      </c>
      <c r="D19" s="5" t="inlineStr">
        <is>
          <t>Core - Port 12 (PoE)</t>
        </is>
      </c>
      <c r="E19" s="5" t="inlineStr">
        <is>
          <t>VLAN 20, 40 (SSID Corp/Visit)</t>
        </is>
      </c>
      <c r="F19" s="13" t="inlineStr">
        <is>
          <t>Wi-Fi Setor Administrativo</t>
        </is>
      </c>
    </row>
    <row r="20">
      <c r="A20" s="6" t="inlineStr">
        <is>
          <t>Access Point 4</t>
        </is>
      </c>
      <c r="B20" s="5" t="inlineStr">
        <is>
          <t>UniFi U6-Pro</t>
        </is>
      </c>
      <c r="C20" s="11" t="inlineStr">
        <is>
          <t>10.100.10.244</t>
        </is>
      </c>
      <c r="D20" s="5" t="inlineStr">
        <is>
          <t>Core - Port 13 (PoE)</t>
        </is>
      </c>
      <c r="E20" s="5" t="inlineStr">
        <is>
          <t>VLAN 20, 40 (SSID Corp/Visit)</t>
        </is>
      </c>
      <c r="F20" s="6" t="inlineStr">
        <is>
          <t>Wi-Fi Recepção e Refeitório</t>
        </is>
      </c>
    </row>
    <row r="21">
      <c r="A21" s="3" t="inlineStr">
        <is>
          <t>3. DIMENSIONAMENTO DE SERVIDORES (VIRTUALIZAÇÃO PROXMOX VE)</t>
        </is>
      </c>
    </row>
    <row r="22">
      <c r="A22" s="14" t="inlineStr">
        <is>
          <t>A. CAPACIDADE FÍSICA DO HOST (SERVIDOR DELL POWEREDGE)</t>
        </is>
      </c>
    </row>
    <row r="23">
      <c r="A23" s="15" t="inlineStr">
        <is>
          <t>Recurso Físico</t>
        </is>
      </c>
      <c r="B23" s="15" t="inlineStr">
        <is>
          <t>Especificação de Hardware</t>
        </is>
      </c>
      <c r="C23" s="16" t="inlineStr">
        <is>
          <t>Capacidade Total</t>
        </is>
      </c>
    </row>
    <row r="24">
      <c r="A24" s="17" t="inlineStr">
        <is>
          <t>Processador (CPU)</t>
        </is>
      </c>
      <c r="B24" s="18" t="inlineStr">
        <is>
          <t>2x Intel Xeon Silver (24 Cores Físicos / 48 Threads)</t>
        </is>
      </c>
      <c r="C24" s="11" t="n">
        <v>48</v>
      </c>
    </row>
    <row r="25">
      <c r="A25" s="17" t="inlineStr">
        <is>
          <t>Memória RAM</t>
        </is>
      </c>
      <c r="B25" s="18" t="inlineStr">
        <is>
          <t>RAM DDR4 ECC Registered</t>
        </is>
      </c>
      <c r="C25" s="11" t="n">
        <v>128</v>
      </c>
    </row>
    <row r="26">
      <c r="A26" s="17" t="inlineStr">
        <is>
          <t>Armazenamento Útil</t>
        </is>
      </c>
      <c r="B26" s="18" t="inlineStr">
        <is>
          <t>SSD Enterprise RAID 10 (Velocidade e Redundância)</t>
        </is>
      </c>
      <c r="C26" s="11" t="n">
        <v>2000</v>
      </c>
    </row>
    <row r="27"/>
    <row r="28">
      <c r="A28" s="14" t="inlineStr">
        <is>
          <t>B. MÁQUINAS VIRTUAIS PROVISIONADAS (VMS)</t>
        </is>
      </c>
    </row>
    <row r="29">
      <c r="A29" s="4" t="inlineStr">
        <is>
          <t>Nome da VM</t>
        </is>
      </c>
      <c r="B29" s="4" t="inlineStr">
        <is>
          <t>Função / Serviço</t>
        </is>
      </c>
      <c r="C29" s="4" t="inlineStr">
        <is>
          <t>Sistema Operacional</t>
        </is>
      </c>
      <c r="D29" s="4" t="inlineStr">
        <is>
          <t>IP de Rede</t>
        </is>
      </c>
      <c r="E29" s="4" t="inlineStr">
        <is>
          <t>vCPUs Alocadas</t>
        </is>
      </c>
      <c r="F29" s="4" t="inlineStr">
        <is>
          <t>RAM Alocada (GB)</t>
        </is>
      </c>
      <c r="G29" s="4" t="inlineStr">
        <is>
          <t>Disco Alocado (GB)</t>
        </is>
      </c>
      <c r="H29" s="4" t="inlineStr">
        <is>
          <t>Orquestração interna / Nota</t>
        </is>
      </c>
    </row>
    <row r="30">
      <c r="A30" s="6" t="inlineStr">
        <is>
          <t>VM-AD-DNS</t>
        </is>
      </c>
      <c r="B30" s="6" t="inlineStr">
        <is>
          <t>Controlador de Domínio, Autenticação e DNS Local</t>
        </is>
      </c>
      <c r="C30" s="6" t="inlineStr">
        <is>
          <t>Windows Server 2022</t>
        </is>
      </c>
      <c r="D30" s="10" t="inlineStr">
        <is>
          <t>10.100.10.10</t>
        </is>
      </c>
      <c r="E30" s="11" t="n">
        <v>4</v>
      </c>
      <c r="F30" s="11" t="n">
        <v>16</v>
      </c>
      <c r="G30" s="11" t="n">
        <v>150</v>
      </c>
      <c r="H30" s="6" t="inlineStr">
        <is>
          <t>Serviço crítico nativo do Windows Server</t>
        </is>
      </c>
    </row>
    <row r="31">
      <c r="A31" s="13" t="inlineStr">
        <is>
          <t>VM-FILE-SRV</t>
        </is>
      </c>
      <c r="B31" s="13" t="inlineStr">
        <is>
          <t>Servidor de Arquivos Compartilhado (Samba/SMB) e Backups</t>
        </is>
      </c>
      <c r="C31" s="13" t="inlineStr">
        <is>
          <t>Windows Server 2022</t>
        </is>
      </c>
      <c r="D31" s="12" t="inlineStr">
        <is>
          <t>10.100.10.20</t>
        </is>
      </c>
      <c r="E31" s="11" t="n">
        <v>4</v>
      </c>
      <c r="F31" s="11" t="n">
        <v>32</v>
      </c>
      <c r="G31" s="11" t="n">
        <v>1000</v>
      </c>
      <c r="H31" s="13" t="inlineStr">
        <is>
          <t>Espaço de arquivos corporativo mapeado via AD</t>
        </is>
      </c>
    </row>
    <row r="32">
      <c r="A32" s="6" t="inlineStr">
        <is>
          <t>VM-DEV-DOCKER</t>
        </is>
      </c>
      <c r="B32" s="6" t="inlineStr">
        <is>
          <t>Servidor de Microsserviços e Aplicações Web internas</t>
        </is>
      </c>
      <c r="C32" s="6" t="inlineStr">
        <is>
          <t>Ubuntu Server 24.04</t>
        </is>
      </c>
      <c r="D32" s="10" t="inlineStr">
        <is>
          <t>10.100.10.30</t>
        </is>
      </c>
      <c r="E32" s="11" t="n">
        <v>8</v>
      </c>
      <c r="F32" s="11" t="n">
        <v>48</v>
      </c>
      <c r="G32" s="11" t="n">
        <v>500</v>
      </c>
      <c r="H32" s="6" t="inlineStr">
        <is>
          <t>Roda Docker Engine + Docker Compose para microsserviços</t>
        </is>
      </c>
    </row>
    <row r="33">
      <c r="A33" s="13" t="inlineStr">
        <is>
          <t>VM-MONITOR</t>
        </is>
      </c>
      <c r="B33" s="13" t="inlineStr">
        <is>
          <t>Monitoramento Geral de Ativos, Switches e Links de Rede</t>
        </is>
      </c>
      <c r="C33" s="13" t="inlineStr">
        <is>
          <t>Ubuntu Server 24.04</t>
        </is>
      </c>
      <c r="D33" s="12" t="inlineStr">
        <is>
          <t>10.100.10.40</t>
        </is>
      </c>
      <c r="E33" s="11" t="n">
        <v>4</v>
      </c>
      <c r="F33" s="11" t="n">
        <v>16</v>
      </c>
      <c r="G33" s="11" t="n">
        <v>200</v>
      </c>
      <c r="H33" s="13" t="inlineStr">
        <is>
          <t>Roda Zabbix Server e painéis interativos de Grafana</t>
        </is>
      </c>
    </row>
    <row r="34">
      <c r="A34" s="17" t="inlineStr">
        <is>
          <t>TOTAL ALOCADO EM VMS</t>
        </is>
      </c>
      <c r="B34" s="19" t="n"/>
      <c r="C34" s="19" t="n"/>
      <c r="D34" s="19" t="n"/>
      <c r="E34" s="20">
        <f>SUM(E30:E33)</f>
        <v/>
      </c>
      <c r="F34" s="20">
        <f>SUM(F30:F33)</f>
        <v/>
      </c>
      <c r="G34" s="20">
        <f>SUM(G30:G33)</f>
        <v/>
      </c>
      <c r="H34" s="21" t="inlineStr">
        <is>
          <t>Fórmulas automáticas de alocação de recursos</t>
        </is>
      </c>
    </row>
    <row r="35">
      <c r="A35" s="17" t="inlineStr">
        <is>
          <t>CAPACIDADE FÍSICA DO HOST</t>
        </is>
      </c>
      <c r="B35" s="19" t="n"/>
      <c r="C35" s="19" t="n"/>
      <c r="D35" s="19" t="n"/>
      <c r="E35" s="22">
        <f>C24</f>
        <v/>
      </c>
      <c r="F35" s="22">
        <f>C25</f>
        <v/>
      </c>
      <c r="G35" s="22">
        <f>C26</f>
        <v/>
      </c>
      <c r="H35" s="21" t="inlineStr">
        <is>
          <t>Referência automática da capacidade do servidor físico</t>
        </is>
      </c>
    </row>
    <row r="36">
      <c r="A36" s="23" t="inlineStr">
        <is>
          <t>RECURSOS LIVRES NO HOST</t>
        </is>
      </c>
      <c r="B36" s="24" t="n"/>
      <c r="C36" s="24" t="n"/>
      <c r="D36" s="24" t="n"/>
      <c r="E36" s="25">
        <f>E35-E34</f>
        <v/>
      </c>
      <c r="F36" s="25">
        <f>F35-F34</f>
        <v/>
      </c>
      <c r="G36" s="25">
        <f>G35-G34</f>
        <v/>
      </c>
      <c r="H36" s="26" t="inlineStr">
        <is>
          <t>Margem disponível para novos servidores virtuais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7" customWidth="1" min="1" max="1"/>
    <col width="27" customWidth="1" min="2" max="2"/>
    <col width="22" customWidth="1" min="3" max="3"/>
    <col width="48" customWidth="1" min="4" max="4"/>
    <col width="32" customWidth="1" min="5" max="5"/>
    <col width="64" customWidth="1" min="6" max="6"/>
    <col width="27" customWidth="1" min="7" max="7"/>
    <col width="17" customWidth="1" min="8" max="8"/>
    <col width="18" customWidth="1" min="9" max="9"/>
  </cols>
  <sheetData>
    <row r="1" ht="25" customHeight="1">
      <c r="A1" s="1" t="inlineStr">
        <is>
          <t>CONFIGURAÇÕES DE REDE - FILIAL A (50 COLABORADORES)</t>
        </is>
      </c>
    </row>
    <row r="2" ht="18" customHeight="1">
      <c r="A2" s="2" t="inlineStr">
        <is>
          <t>Endereçamento Lógico, VLANs, Inventário de Hardware e Conectividade SD-WAN</t>
        </is>
      </c>
    </row>
    <row r="3"/>
    <row r="4">
      <c r="A4" s="3" t="inlineStr">
        <is>
          <t>1. TABELA DE SUBNETS E CONFIGURAÇÃO DE VLANS</t>
        </is>
      </c>
    </row>
    <row r="5">
      <c r="A5" s="4" t="inlineStr">
        <is>
          <t>VLAN ID</t>
        </is>
      </c>
      <c r="B5" s="4" t="inlineStr">
        <is>
          <t>Nome da VLAN</t>
        </is>
      </c>
      <c r="C5" s="4" t="inlineStr">
        <is>
          <t>Subnet IP</t>
        </is>
      </c>
      <c r="D5" s="4" t="inlineStr">
        <is>
          <t>Máscara</t>
        </is>
      </c>
      <c r="E5" s="4" t="inlineStr">
        <is>
          <t>Gateway IP</t>
        </is>
      </c>
      <c r="F5" s="4" t="inlineStr">
        <is>
          <t>Range DHCP</t>
        </is>
      </c>
      <c r="G5" s="4" t="inlineStr">
        <is>
          <t>DNS Primário</t>
        </is>
      </c>
      <c r="H5" s="4" t="inlineStr">
        <is>
          <t>DNS Secundário</t>
        </is>
      </c>
      <c r="I5" s="4" t="inlineStr">
        <is>
          <t>Status</t>
        </is>
      </c>
    </row>
    <row r="6">
      <c r="A6" s="10" t="inlineStr">
        <is>
          <t>VLAN 10</t>
        </is>
      </c>
      <c r="B6" s="6" t="inlineStr">
        <is>
          <t>Gerenciamento</t>
        </is>
      </c>
      <c r="C6" s="5" t="inlineStr">
        <is>
          <t>10.110.10.0/24</t>
        </is>
      </c>
      <c r="D6" s="11" t="inlineStr">
        <is>
          <t>255.255.255.0</t>
        </is>
      </c>
      <c r="E6" s="5" t="inlineStr">
        <is>
          <t>10.110.10.1</t>
        </is>
      </c>
      <c r="F6" s="5" t="inlineStr">
        <is>
          <t>Estático (Sem DHCP)</t>
        </is>
      </c>
      <c r="G6" s="5" t="inlineStr">
        <is>
          <t>10.100.10.10 (Matriz AD)</t>
        </is>
      </c>
      <c r="H6" s="5" t="inlineStr">
        <is>
          <t>8.8.8.8</t>
        </is>
      </c>
      <c r="I6" s="10" t="inlineStr">
        <is>
          <t>Ativo</t>
        </is>
      </c>
    </row>
    <row r="7">
      <c r="A7" s="12" t="inlineStr">
        <is>
          <t>VLAN 20</t>
        </is>
      </c>
      <c r="B7" s="13" t="inlineStr">
        <is>
          <t>Colaboradores (Usuários)</t>
        </is>
      </c>
      <c r="C7" s="5" t="inlineStr">
        <is>
          <t>10.110.20.0/24</t>
        </is>
      </c>
      <c r="D7" s="11" t="inlineStr">
        <is>
          <t>255.255.255.0</t>
        </is>
      </c>
      <c r="E7" s="5" t="inlineStr">
        <is>
          <t>10.110.20.1</t>
        </is>
      </c>
      <c r="F7" s="5" t="inlineStr">
        <is>
          <t>10.110.20.100 - 10.110.20.250</t>
        </is>
      </c>
      <c r="G7" s="5" t="inlineStr">
        <is>
          <t>10.100.10.10 (Matriz AD)</t>
        </is>
      </c>
      <c r="H7" s="5" t="inlineStr">
        <is>
          <t>1.1.1.1</t>
        </is>
      </c>
      <c r="I7" s="12" t="inlineStr">
        <is>
          <t>Ativo</t>
        </is>
      </c>
    </row>
    <row r="8">
      <c r="A8" s="10" t="inlineStr">
        <is>
          <t>VLAN 30</t>
        </is>
      </c>
      <c r="B8" s="6" t="inlineStr">
        <is>
          <t>Telefonia VoIP (Voz)</t>
        </is>
      </c>
      <c r="C8" s="5" t="inlineStr">
        <is>
          <t>10.110.30.0/24</t>
        </is>
      </c>
      <c r="D8" s="11" t="inlineStr">
        <is>
          <t>255.255.255.0</t>
        </is>
      </c>
      <c r="E8" s="5" t="inlineStr">
        <is>
          <t>10.110.30.1</t>
        </is>
      </c>
      <c r="F8" s="5" t="inlineStr">
        <is>
          <t>10.110.30.50 - 10.110.30.200</t>
        </is>
      </c>
      <c r="G8" s="5" t="inlineStr">
        <is>
          <t>10.100.10.10 (Matriz AD)</t>
        </is>
      </c>
      <c r="H8" s="5" t="inlineStr">
        <is>
          <t>1.1.1.1</t>
        </is>
      </c>
      <c r="I8" s="10" t="inlineStr">
        <is>
          <t>Ativo</t>
        </is>
      </c>
    </row>
    <row r="9">
      <c r="A9" s="12" t="inlineStr">
        <is>
          <t>VLAN 40</t>
        </is>
      </c>
      <c r="B9" s="13" t="inlineStr">
        <is>
          <t>Visitantes (Wi-Fi)</t>
        </is>
      </c>
      <c r="C9" s="5" t="inlineStr">
        <is>
          <t>10.110.40.0/24</t>
        </is>
      </c>
      <c r="D9" s="11" t="inlineStr">
        <is>
          <t>255.255.255.0</t>
        </is>
      </c>
      <c r="E9" s="5" t="inlineStr">
        <is>
          <t>10.110.40.1</t>
        </is>
      </c>
      <c r="F9" s="5" t="inlineStr">
        <is>
          <t>10.110.40.20 - 10.110.40.250</t>
        </is>
      </c>
      <c r="G9" s="5" t="inlineStr">
        <is>
          <t>8.8.8.8</t>
        </is>
      </c>
      <c r="H9" s="5" t="inlineStr">
        <is>
          <t>1.1.1.1</t>
        </is>
      </c>
      <c r="I9" s="12" t="inlineStr">
        <is>
          <t>Ativo (Isolada)</t>
        </is>
      </c>
    </row>
    <row r="10"/>
    <row r="11">
      <c r="A11" s="3" t="inlineStr">
        <is>
          <t>2. INVENTÁRIO DE HARDWARE E PORTAS FÍSICAS</t>
        </is>
      </c>
    </row>
    <row r="12">
      <c r="A12" s="4" t="inlineStr">
        <is>
          <t>Tipo de Dispositivo</t>
        </is>
      </c>
      <c r="B12" s="4" t="inlineStr">
        <is>
          <t>Marca / Modelo</t>
        </is>
      </c>
      <c r="C12" s="4" t="inlineStr">
        <is>
          <t>IP de Gerenciamento</t>
        </is>
      </c>
      <c r="D12" s="4" t="inlineStr">
        <is>
          <t>Porta Uplink / Borda</t>
        </is>
      </c>
      <c r="E12" s="4" t="inlineStr">
        <is>
          <t>VLANs Atribuídas</t>
        </is>
      </c>
      <c r="F12" s="4" t="inlineStr">
        <is>
          <t>Função / Descrição</t>
        </is>
      </c>
    </row>
    <row r="13">
      <c r="A13" s="13" t="inlineStr">
        <is>
          <t>Firewall UTM</t>
        </is>
      </c>
      <c r="B13" s="5" t="inlineStr">
        <is>
          <t>FortiGate 60F</t>
        </is>
      </c>
      <c r="C13" s="11" t="inlineStr">
        <is>
          <t>10.110.10.254</t>
        </is>
      </c>
      <c r="D13" s="5" t="inlineStr">
        <is>
          <t>WAN1 (Link Dedicado 150M) / WAN2 (Fibra 200M)</t>
        </is>
      </c>
      <c r="E13" s="5" t="inlineStr">
        <is>
          <t>Todas (Trunk / 802.1q)</t>
        </is>
      </c>
      <c r="F13" s="13" t="inlineStr">
        <is>
          <t>Segurança de borda, túnel VPN para Matriz e controle SD-WAN</t>
        </is>
      </c>
    </row>
    <row r="14">
      <c r="A14" s="6" t="inlineStr">
        <is>
          <t>Switch Core PoE</t>
        </is>
      </c>
      <c r="B14" s="5" t="inlineStr">
        <is>
          <t>UniFi USW-24-PoE</t>
        </is>
      </c>
      <c r="C14" s="11" t="inlineStr">
        <is>
          <t>10.110.10.251</t>
        </is>
      </c>
      <c r="D14" s="5" t="inlineStr">
        <is>
          <t>Port 25 (SFP Uplink para Firewall)</t>
        </is>
      </c>
      <c r="E14" s="5" t="inlineStr">
        <is>
          <t>Todas (Trunk)</t>
        </is>
      </c>
      <c r="F14" s="6" t="inlineStr">
        <is>
          <t>Switch principal e distribuição PoE para APs e telefones VoIP</t>
        </is>
      </c>
    </row>
    <row r="15">
      <c r="A15" s="13" t="inlineStr">
        <is>
          <t>Switch Acesso 1</t>
        </is>
      </c>
      <c r="B15" s="5" t="inlineStr">
        <is>
          <t>UniFi USW-24-Pro</t>
        </is>
      </c>
      <c r="C15" s="11" t="inlineStr">
        <is>
          <t>10.110.10.252</t>
        </is>
      </c>
      <c r="D15" s="5" t="inlineStr">
        <is>
          <t>Port 25 (Uplink para Core)</t>
        </is>
      </c>
      <c r="E15" s="5" t="inlineStr">
        <is>
          <t>VLAN 20, 30</t>
        </is>
      </c>
      <c r="F15" s="13" t="inlineStr">
        <is>
          <t>Conectividade cabeada para computadores dos usuários</t>
        </is>
      </c>
    </row>
    <row r="16">
      <c r="A16" s="6" t="inlineStr">
        <is>
          <t>Access Point 1</t>
        </is>
      </c>
      <c r="B16" s="5" t="inlineStr">
        <is>
          <t>UniFi U6-Pro</t>
        </is>
      </c>
      <c r="C16" s="11" t="inlineStr">
        <is>
          <t>10.110.10.241</t>
        </is>
      </c>
      <c r="D16" s="5" t="inlineStr">
        <is>
          <t>Core - Port 5 (PoE)</t>
        </is>
      </c>
      <c r="E16" s="5" t="inlineStr">
        <is>
          <t>VLAN 20, 40 (SSID Corp/Visit)</t>
        </is>
      </c>
      <c r="F16" s="6" t="inlineStr">
        <is>
          <t>Wi-Fi Área Comercial e Administrativa</t>
        </is>
      </c>
    </row>
    <row r="17">
      <c r="A17" s="13" t="inlineStr">
        <is>
          <t>Access Point 2</t>
        </is>
      </c>
      <c r="B17" s="5" t="inlineStr">
        <is>
          <t>UniFi U6-Pro</t>
        </is>
      </c>
      <c r="C17" s="11" t="inlineStr">
        <is>
          <t>10.110.10.242</t>
        </is>
      </c>
      <c r="D17" s="5" t="inlineStr">
        <is>
          <t>Core - Port 6 (PoE)</t>
        </is>
      </c>
      <c r="E17" s="5" t="inlineStr">
        <is>
          <t>VLAN 20, 40 (SSID Corp/Visit)</t>
        </is>
      </c>
      <c r="F17" s="13" t="inlineStr">
        <is>
          <t>Wi-Fi Área de Reuniões e Operações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7" customWidth="1" min="1" max="1"/>
    <col width="27" customWidth="1" min="2" max="2"/>
    <col width="22" customWidth="1" min="3" max="3"/>
    <col width="48" customWidth="1" min="4" max="4"/>
    <col width="32" customWidth="1" min="5" max="5"/>
    <col width="64" customWidth="1" min="6" max="6"/>
    <col width="27" customWidth="1" min="7" max="7"/>
    <col width="17" customWidth="1" min="8" max="8"/>
    <col width="18" customWidth="1" min="9" max="9"/>
  </cols>
  <sheetData>
    <row r="1" ht="25" customHeight="1">
      <c r="A1" s="1" t="inlineStr">
        <is>
          <t>CONFIGURAÇÕES DE REDE - FILIAL B (50 COLABORADORES)</t>
        </is>
      </c>
    </row>
    <row r="2" ht="18" customHeight="1">
      <c r="A2" s="2" t="inlineStr">
        <is>
          <t>Endereçamento Lógico, VLANs, Inventário de Hardware e Conectividade SD-WAN</t>
        </is>
      </c>
    </row>
    <row r="3"/>
    <row r="4">
      <c r="A4" s="3" t="inlineStr">
        <is>
          <t>1. TABELA DE SUBNETS E CONFIGURAÇÃO DE VLANS</t>
        </is>
      </c>
    </row>
    <row r="5">
      <c r="A5" s="4" t="inlineStr">
        <is>
          <t>VLAN ID</t>
        </is>
      </c>
      <c r="B5" s="4" t="inlineStr">
        <is>
          <t>Nome da VLAN</t>
        </is>
      </c>
      <c r="C5" s="4" t="inlineStr">
        <is>
          <t>Subnet IP</t>
        </is>
      </c>
      <c r="D5" s="4" t="inlineStr">
        <is>
          <t>Máscara</t>
        </is>
      </c>
      <c r="E5" s="4" t="inlineStr">
        <is>
          <t>Gateway IP</t>
        </is>
      </c>
      <c r="F5" s="4" t="inlineStr">
        <is>
          <t>Range DHCP</t>
        </is>
      </c>
      <c r="G5" s="4" t="inlineStr">
        <is>
          <t>DNS Primário</t>
        </is>
      </c>
      <c r="H5" s="4" t="inlineStr">
        <is>
          <t>DNS Secundário</t>
        </is>
      </c>
      <c r="I5" s="4" t="inlineStr">
        <is>
          <t>Status</t>
        </is>
      </c>
    </row>
    <row r="6">
      <c r="A6" s="10" t="inlineStr">
        <is>
          <t>VLAN 10</t>
        </is>
      </c>
      <c r="B6" s="6" t="inlineStr">
        <is>
          <t>Gerenciamento</t>
        </is>
      </c>
      <c r="C6" s="5" t="inlineStr">
        <is>
          <t>10.120.10.0/24</t>
        </is>
      </c>
      <c r="D6" s="11" t="inlineStr">
        <is>
          <t>255.255.255.0</t>
        </is>
      </c>
      <c r="E6" s="5" t="inlineStr">
        <is>
          <t>10.120.10.1</t>
        </is>
      </c>
      <c r="F6" s="5" t="inlineStr">
        <is>
          <t>Estático (Sem DHCP)</t>
        </is>
      </c>
      <c r="G6" s="5" t="inlineStr">
        <is>
          <t>10.100.10.10 (Matriz AD)</t>
        </is>
      </c>
      <c r="H6" s="5" t="inlineStr">
        <is>
          <t>8.8.8.8</t>
        </is>
      </c>
      <c r="I6" s="10" t="inlineStr">
        <is>
          <t>Ativo</t>
        </is>
      </c>
    </row>
    <row r="7">
      <c r="A7" s="12" t="inlineStr">
        <is>
          <t>VLAN 20</t>
        </is>
      </c>
      <c r="B7" s="13" t="inlineStr">
        <is>
          <t>Colaboradores (Usuários)</t>
        </is>
      </c>
      <c r="C7" s="5" t="inlineStr">
        <is>
          <t>10.120.20.0/24</t>
        </is>
      </c>
      <c r="D7" s="11" t="inlineStr">
        <is>
          <t>255.255.255.0</t>
        </is>
      </c>
      <c r="E7" s="5" t="inlineStr">
        <is>
          <t>10.120.20.1</t>
        </is>
      </c>
      <c r="F7" s="5" t="inlineStr">
        <is>
          <t>10.120.20.100 - 10.120.20.250</t>
        </is>
      </c>
      <c r="G7" s="5" t="inlineStr">
        <is>
          <t>10.100.10.10 (Matriz AD)</t>
        </is>
      </c>
      <c r="H7" s="5" t="inlineStr">
        <is>
          <t>1.1.1.1</t>
        </is>
      </c>
      <c r="I7" s="12" t="inlineStr">
        <is>
          <t>Ativo</t>
        </is>
      </c>
    </row>
    <row r="8">
      <c r="A8" s="10" t="inlineStr">
        <is>
          <t>VLAN 30</t>
        </is>
      </c>
      <c r="B8" s="6" t="inlineStr">
        <is>
          <t>Telefonia VoIP (Voz)</t>
        </is>
      </c>
      <c r="C8" s="5" t="inlineStr">
        <is>
          <t>10.120.30.0/24</t>
        </is>
      </c>
      <c r="D8" s="11" t="inlineStr">
        <is>
          <t>255.255.255.0</t>
        </is>
      </c>
      <c r="E8" s="5" t="inlineStr">
        <is>
          <t>10.120.30.1</t>
        </is>
      </c>
      <c r="F8" s="5" t="inlineStr">
        <is>
          <t>10.120.30.50 - 10.120.30.200</t>
        </is>
      </c>
      <c r="G8" s="5" t="inlineStr">
        <is>
          <t>10.100.10.10 (Matriz AD)</t>
        </is>
      </c>
      <c r="H8" s="5" t="inlineStr">
        <is>
          <t>1.1.1.1</t>
        </is>
      </c>
      <c r="I8" s="10" t="inlineStr">
        <is>
          <t>Ativo</t>
        </is>
      </c>
    </row>
    <row r="9">
      <c r="A9" s="12" t="inlineStr">
        <is>
          <t>VLAN 40</t>
        </is>
      </c>
      <c r="B9" s="13" t="inlineStr">
        <is>
          <t>Visitantes (Wi-Fi)</t>
        </is>
      </c>
      <c r="C9" s="5" t="inlineStr">
        <is>
          <t>10.120.40.0/24</t>
        </is>
      </c>
      <c r="D9" s="11" t="inlineStr">
        <is>
          <t>255.255.255.0</t>
        </is>
      </c>
      <c r="E9" s="5" t="inlineStr">
        <is>
          <t>10.120.40.1</t>
        </is>
      </c>
      <c r="F9" s="5" t="inlineStr">
        <is>
          <t>10.120.40.20 - 10.120.40.250</t>
        </is>
      </c>
      <c r="G9" s="5" t="inlineStr">
        <is>
          <t>8.8.8.8</t>
        </is>
      </c>
      <c r="H9" s="5" t="inlineStr">
        <is>
          <t>1.1.1.1</t>
        </is>
      </c>
      <c r="I9" s="12" t="inlineStr">
        <is>
          <t>Ativo (Isolada)</t>
        </is>
      </c>
    </row>
    <row r="10"/>
    <row r="11">
      <c r="A11" s="3" t="inlineStr">
        <is>
          <t>2. INVENTÁRIO DE HARDWARE E PORTAS FÍSICAS</t>
        </is>
      </c>
    </row>
    <row r="12">
      <c r="A12" s="4" t="inlineStr">
        <is>
          <t>Tipo de Dispositivo</t>
        </is>
      </c>
      <c r="B12" s="4" t="inlineStr">
        <is>
          <t>Marca / Modelo</t>
        </is>
      </c>
      <c r="C12" s="4" t="inlineStr">
        <is>
          <t>IP de Gerenciamento</t>
        </is>
      </c>
      <c r="D12" s="4" t="inlineStr">
        <is>
          <t>Porta Uplink / Borda</t>
        </is>
      </c>
      <c r="E12" s="4" t="inlineStr">
        <is>
          <t>VLANs Atribuídas</t>
        </is>
      </c>
      <c r="F12" s="4" t="inlineStr">
        <is>
          <t>Função / Descrição</t>
        </is>
      </c>
    </row>
    <row r="13">
      <c r="A13" s="13" t="inlineStr">
        <is>
          <t>Firewall UTM</t>
        </is>
      </c>
      <c r="B13" s="5" t="inlineStr">
        <is>
          <t>FortiGate 60F</t>
        </is>
      </c>
      <c r="C13" s="11" t="inlineStr">
        <is>
          <t>10.120.10.254</t>
        </is>
      </c>
      <c r="D13" s="5" t="inlineStr">
        <is>
          <t>WAN1 (Link Dedicado 150M) / WAN2 (Fibra 200M)</t>
        </is>
      </c>
      <c r="E13" s="5" t="inlineStr">
        <is>
          <t>Todas (Trunk / 802.1q)</t>
        </is>
      </c>
      <c r="F13" s="13" t="inlineStr">
        <is>
          <t>Segurança de borda, túnel VPN para Matriz e controle SD-WAN</t>
        </is>
      </c>
    </row>
    <row r="14">
      <c r="A14" s="6" t="inlineStr">
        <is>
          <t>Switch Core PoE</t>
        </is>
      </c>
      <c r="B14" s="5" t="inlineStr">
        <is>
          <t>UniFi USW-24-PoE</t>
        </is>
      </c>
      <c r="C14" s="11" t="inlineStr">
        <is>
          <t>10.120.10.251</t>
        </is>
      </c>
      <c r="D14" s="5" t="inlineStr">
        <is>
          <t>Port 25 (SFP Uplink para Firewall)</t>
        </is>
      </c>
      <c r="E14" s="5" t="inlineStr">
        <is>
          <t>Todas (Trunk)</t>
        </is>
      </c>
      <c r="F14" s="6" t="inlineStr">
        <is>
          <t>Switch principal e distribuição PoE para APs e telefones VoIP</t>
        </is>
      </c>
    </row>
    <row r="15">
      <c r="A15" s="13" t="inlineStr">
        <is>
          <t>Switch Acesso 1</t>
        </is>
      </c>
      <c r="B15" s="5" t="inlineStr">
        <is>
          <t>UniFi USW-24-Pro</t>
        </is>
      </c>
      <c r="C15" s="11" t="inlineStr">
        <is>
          <t>10.120.10.252</t>
        </is>
      </c>
      <c r="D15" s="5" t="inlineStr">
        <is>
          <t>Port 25 (Uplink para Core)</t>
        </is>
      </c>
      <c r="E15" s="5" t="inlineStr">
        <is>
          <t>VLAN 20, 30</t>
        </is>
      </c>
      <c r="F15" s="13" t="inlineStr">
        <is>
          <t>Conectividade cabeada para computadores dos usuários</t>
        </is>
      </c>
    </row>
    <row r="16">
      <c r="A16" s="6" t="inlineStr">
        <is>
          <t>Access Point 1</t>
        </is>
      </c>
      <c r="B16" s="5" t="inlineStr">
        <is>
          <t>UniFi U6-Pro</t>
        </is>
      </c>
      <c r="C16" s="11" t="inlineStr">
        <is>
          <t>10.120.10.241</t>
        </is>
      </c>
      <c r="D16" s="5" t="inlineStr">
        <is>
          <t>Core - Port 5 (PoE)</t>
        </is>
      </c>
      <c r="E16" s="5" t="inlineStr">
        <is>
          <t>VLAN 20, 40 (SSID Corp/Visit)</t>
        </is>
      </c>
      <c r="F16" s="6" t="inlineStr">
        <is>
          <t>Wi-Fi Área Comercial e Administrativa</t>
        </is>
      </c>
    </row>
    <row r="17">
      <c r="A17" s="13" t="inlineStr">
        <is>
          <t>Access Point 2</t>
        </is>
      </c>
      <c r="B17" s="5" t="inlineStr">
        <is>
          <t>UniFi U6-Pro</t>
        </is>
      </c>
      <c r="C17" s="11" t="inlineStr">
        <is>
          <t>10.120.10.242</t>
        </is>
      </c>
      <c r="D17" s="5" t="inlineStr">
        <is>
          <t>Core - Port 6 (PoE)</t>
        </is>
      </c>
      <c r="E17" s="5" t="inlineStr">
        <is>
          <t>VLAN 20, 40 (SSID Corp/Visit)</t>
        </is>
      </c>
      <c r="F17" s="13" t="inlineStr">
        <is>
          <t>Wi-Fi Área de Reuniões e Operações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2026-08-21T20:30:56Z</dcterms:created>
  <dcterms:modified xmlns:dcterms="http://purl.org/dc/terms/" xmlns:xsi="http://www.w3.org/2001/XMLSchema-instance" xsi:type="dcterms:W3CDTF">2026-08-21T20:30:56Z</dcterms:modified>
</cp:coreProperties>
</file>